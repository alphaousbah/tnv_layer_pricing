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824AC2B1-862D-4B9F-81B7-AC0F279AA766}" xr6:coauthVersionLast="47" xr6:coauthVersionMax="47" xr10:uidLastSave="{00000000-0000-0000-0000-000000000000}"/>
  <bookViews>
    <workbookView xWindow="-120" yWindow="-120" windowWidth="20730" windowHeight="11040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<sst xmlns="http://schemas.openxmlformats.org/spreadsheetml/2006/main" count="59" uniqueCount="41">
  <si>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</si>
  <si>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</si>
  <si>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</si>
  <si>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</si>
  <si>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</si>
  <si>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</si>
  <si>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</si>
  <si>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</si>
  <si>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</si>
  <si>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</si>
  <si>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</si>
  <si>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</si>
  <si>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</si>
  <si>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</si>
  <si>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</si>
  <si>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</si>
  <si>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</si>
  <si>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</si>
  <si>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</si>
  <si>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</si>
  <si>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</si>
  <si>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</si>
  <si>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</si>
  <si>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loss_count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</si>
  <si>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</si>
  <si>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</si>
  <si>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</si>
  <si>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</si>
  <si>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</si>
  <si>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</si>
  <si>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</si>
  <si>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</si>
  <si>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</si>
  <si>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</si>
  <si>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</si>
  <si>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</si>
  <si>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</si>
  <si>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</si>
  <si>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</si>
  <si>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# TODO: In LayerBurningCost, Keep view and separate premium as-is and as-if</t>
  </si>
  <si>
    <t>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</si>
</sst>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8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4" borderId="0" xfId="0" applyFill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10</xdr:col>
      <xdr:colOff>695325</xdr:colOff>
      <xdr:row>3</xdr:row>
      <xdr:rowOff>152400</xdr:rowOff>
    </xdr:to>
    <xdr:sp macro="[0]!run_pricing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5600701" y="533400"/>
          <a:ext cx="11239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5" dataDxfId="54">
  <autoFilter ref="E4:J7" xr:uid="{5CA847B2-8EE7-45AB-94C5-0AE46A156B0B}"/>
  <tableColumns count="6">
    <tableColumn id="1" xr3:uid="{CF13CAE3-0525-4B5A-A1EB-26A42E5C0AD1}" name="id" dataDxfId="53"/>
    <tableColumn id="2" xr3:uid="{22730DAD-7D3E-4E1E-9000-E729F9830C9E}" name="occ_limit" dataDxfId="52"/>
    <tableColumn id="3" xr3:uid="{F30FE157-BE84-44B8-8A79-90474A97D7DB}" name="occ_deduct" dataDxfId="51"/>
    <tableColumn id="4" xr3:uid="{04B2A8E0-9074-45A5-B6B6-00EA2900A7A0}" name="agg_limit" dataDxfId="50"/>
    <tableColumn id="5" xr3:uid="{6920C143-D579-4302-84A3-7895CA475137}" name="agg_deduct" dataDxfId="49"/>
    <tableColumn id="6" xr3:uid="{2B01325C-8ED5-489C-B2BC-AC94E0C84833}" name="analysis_id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7" dataDxfId="46">
  <autoFilter ref="L4:P7" xr:uid="{E6CEA747-12D0-4F26-9896-62CAC79FF787}"/>
  <tableColumns count="5">
    <tableColumn id="1" xr3:uid="{9A0FF13B-E4E3-46E1-9797-91DC9D859FC1}" name="id" dataDxfId="45"/>
    <tableColumn id="2" xr3:uid="{70FD2BF7-3C15-466B-9DE0-383CAC3F4D19}" name="order" dataDxfId="44"/>
    <tableColumn id="3" xr3:uid="{5DDE2FC8-050F-4A4E-A683-17406677D1DB}" name="number" dataDxfId="43"/>
    <tableColumn id="4" xr3:uid="{1A8EE152-37C7-4DF5-8B47-0C47B1952785}" name="rate" dataDxfId="42"/>
    <tableColumn id="6" xr3:uid="{2FFCEF7B-D267-42A6-91DB-6FDAED53BCB6}" name="layer_id" dataDxfId="4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0" dataDxfId="39">
  <autoFilter ref="R4:S6" xr:uid="{C8B2763D-41E9-4574-91E0-8F50452D419F}"/>
  <tableColumns count="2">
    <tableColumn id="1" xr3:uid="{C5150EC8-3CBF-4E25-AFEC-0A0B6379C9CD}" name="id" dataDxfId="38"/>
    <tableColumn id="2" xr3:uid="{6F9D29DB-4497-498E-8A67-F977A635036D}" name="name" dataDxfId="37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6" dataDxfId="35">
  <autoFilter ref="AA4:AD6" xr:uid="{DF95DD34-1195-4F2C-A40E-953A82F23E46}"/>
  <tableColumns count="4">
    <tableColumn id="1" xr3:uid="{D40E0076-AC60-4248-9E8F-9C1E4BD9230A}" name="id" dataDxfId="34"/>
    <tableColumn id="2" xr3:uid="{4883908E-7BBE-45F6-AC43-B36996751863}" name="name" dataDxfId="33">
      <calculatedColumnFormula>$AA$2&amp;" "&amp;AA5</calculatedColumnFormula>
    </tableColumn>
    <tableColumn id="3" xr3:uid="{B2DD1069-C726-4FB8-B7F8-3B1AF132DB9C}" name="start_year" dataDxfId="32"/>
    <tableColumn id="4" xr3:uid="{50D92FF8-FB20-470E-BE51-5F275E953495}" name="end_year" dataDxfId="3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0" dataDxfId="29">
  <autoFilter ref="U4:Y14" xr:uid="{87547E15-6F23-48DB-988E-A806F8C28BA4}"/>
  <tableColumns count="5">
    <tableColumn id="1" xr3:uid="{9EC646F6-1AC2-4625-AC2E-04455487C54D}" name="id" dataDxfId="28"/>
    <tableColumn id="4" xr3:uid="{933E5EFA-0993-431F-BF00-036B197C4BA4}" name="year" dataDxfId="27"/>
    <tableColumn id="3" xr3:uid="{02D3956D-C9C0-4CDD-BA90-A15C89CFB121}" name="as_is_premium" dataDxfId="26"/>
    <tableColumn id="2" xr3:uid="{2E3497CD-CD50-4FEC-AEA4-DF06CF05629C}" name="as_if_premium" dataDxfId="25"/>
    <tableColumn id="5" xr3:uid="{1B3EE1F2-40ED-4A47-B51A-960CC6201380}" name="premiumfile_id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3" dataDxfId="22">
  <autoFilter ref="AF4:AJ28" xr:uid="{E3D0BCED-596B-4DEA-97D5-56A00B47D385}"/>
  <tableColumns count="5">
    <tableColumn id="1" xr3:uid="{7C648F2E-1333-42B0-BA4F-C7EF93F4DE48}" name="id" dataDxfId="21"/>
    <tableColumn id="2" xr3:uid="{2EC76378-EF9D-4A9C-B27F-8CD8943B00DE}" name="year" dataDxfId="20"/>
    <tableColumn id="3" xr3:uid="{716D9C8F-C9CE-47C1-A518-507B1A096139}" name="as_is_loss" dataDxfId="19"/>
    <tableColumn id="4" xr3:uid="{73684E65-D95F-488E-B234-FE348A88CD6A}" name="as_if_loss" dataDxfId="18"/>
    <tableColumn id="5" xr3:uid="{2E57A992-A0F9-4533-AC54-134DC62818BA}" name="lossfile_id" dataDxfId="1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6" dataDxfId="15">
  <autoFilter ref="B4:C6" xr:uid="{171B8AB5-3C97-4AA2-809A-4315CC95ACFB}"/>
  <tableColumns count="2">
    <tableColumn id="1" xr3:uid="{1865AD12-620D-4781-9E1F-A64D9239EC69}" name="id" dataDxfId="14"/>
    <tableColumn id="2" xr3:uid="{05AE99FD-6447-4792-82B7-9CD0C874628F}" name="name" dataDxfId="13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7" totalsRowShown="0" headerRowDxfId="12">
  <autoFilter ref="E4:F7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6" totalsRowShown="0" headerRowDxfId="11">
  <autoFilter ref="H4:I6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J5" insertRow="1" totalsRowShown="0" headerRowDxfId="10" dataDxfId="9">
  <autoFilter ref="B4:J5" xr:uid="{B03F1A5E-F6B1-4C5C-821E-A493D22773F8}"/>
  <tableColumns count="9">
    <tableColumn id="2" xr3:uid="{83403BE3-4F9B-40B4-993F-030D4283AAE6}" name="id" dataDxfId="8"/>
    <tableColumn id="3" xr3:uid="{8F29F1A9-C05D-48F5-883F-C46E7516E5E2}" name="basis" dataDxfId="7"/>
    <tableColumn id="4" xr3:uid="{DC84343E-C0E5-4BCD-9315-9477E83C05ED}" name="year" dataDxfId="6"/>
    <tableColumn id="5" xr3:uid="{7AEE9F5B-30B9-4866-8251-91F3E392A3CB}" name="loss_count" dataDxfId="5"/>
    <tableColumn id="6" xr3:uid="{23F84679-BC7C-4D75-B8EE-5F406097253D}" name="premium" dataDxfId="4"/>
    <tableColumn id="7" xr3:uid="{31846C6C-C0E4-4258-B7FF-BE8785D2B80C}" name="ceded_before_agg_limits" dataDxfId="3"/>
    <tableColumn id="8" xr3:uid="{6FCAFDAE-8673-423A-BA4B-37795C4D6565}" name="ceded" dataDxfId="2"/>
    <tableColumn id="9" xr3:uid="{52BDE59E-FA8C-4817-A7C3-8CFD50A359E2}" name="reinstated" dataDxfId="1"/>
    <tableColumn id="10" xr3:uid="{26D1C226-68FE-4852-A1BC-136FEB779B3E}" name="layer_i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V3" zoomScaleNormal="100" workbookViewId="0">
      <selection activeCell="AH10" sqref="AH10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34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26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35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26</v>
      </c>
      <c r="U4" t="s">
        <v>4</v>
      </c>
      <c r="V4" t="s">
        <v>11</v>
      </c>
      <c r="W4" t="s">
        <v>27</v>
      </c>
      <c r="X4" t="s">
        <v>28</v>
      </c>
      <c r="Y4" t="s">
        <v>15</v>
      </c>
      <c r="AA4" t="s">
        <v>4</v>
      </c>
      <c r="AB4" t="s">
        <v>26</v>
      </c>
      <c r="AC4" t="s">
        <v>29</v>
      </c>
      <c r="AD4" t="s">
        <v>30</v>
      </c>
      <c r="AF4" t="s">
        <v>4</v>
      </c>
      <c r="AG4" t="s">
        <v>11</v>
      </c>
      <c r="AH4" t="s">
        <v>31</v>
      </c>
      <c r="AI4" t="s">
        <v>32</v>
      </c>
      <c r="AJ4" t="s">
        <v>33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5000000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250000000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G7" sqref="G7:I7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36</v>
      </c>
      <c r="E2" s="1" t="s">
        <v>14</v>
      </c>
      <c r="H2" s="1" t="s">
        <v>16</v>
      </c>
    </row>
    <row r="4" spans="2:9" x14ac:dyDescent="0.2">
      <c r="B4" s="6" t="s">
        <v>35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37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38</v>
      </c>
      <c r="C7" s="5">
        <f>MAX(Premium[year],HistoLossFile[end_year])</f>
        <v>2023</v>
      </c>
      <c r="E7">
        <v>2</v>
      </c>
      <c r="F7">
        <v>1</v>
      </c>
    </row>
    <row r="8" spans="2:9" x14ac:dyDescent="0.2">
      <c r="H8">
        <v>2</v>
      </c>
      <c r="I8">
        <v>1</v>
      </c>
    </row>
    <row r="9" spans="2:9" x14ac:dyDescent="0.2">
      <c r="B9" s="6" t="s">
        <v>29</v>
      </c>
      <c r="C9" s="2">
        <f>C6</f>
        <v>2019</v>
      </c>
    </row>
    <row r="10" spans="2:9" x14ac:dyDescent="0.2">
      <c r="B10" s="6" t="s">
        <v>30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J5"/>
  <sheetViews>
    <sheetView showGridLines="0" tabSelected="1" workbookViewId="0">
      <selection activeCell="M8" sqref="M8"/>
    </sheetView>
  </sheetViews>
  <sheetFormatPr defaultColWidth="11.42578125" defaultRowHeight="12.75" x14ac:dyDescent="0.2"/>
  <cols>
    <col min="2" max="2" width="6.85546875" customWidth="1"/>
    <col min="3" max="3" width="6.7109375" bestFit="1" customWidth="1"/>
    <col min="4" max="4" width="7" bestFit="1" customWidth="1"/>
    <col min="5" max="5" width="11.42578125" bestFit="1" customWidth="1"/>
    <col min="6" max="6" width="10.5703125" bestFit="1" customWidth="1"/>
    <col min="7" max="7" width="23" bestFit="1" customWidth="1"/>
    <col min="8" max="8" width="8" bestFit="1" customWidth="1"/>
    <col min="9" max="9" width="11.42578125" bestFit="1" customWidth="1"/>
    <col min="10" max="10" width="9.42578125" bestFit="1" customWidth="1"/>
  </cols>
  <sheetData>
    <row r="2" spans="2:10" ht="23.25" x14ac:dyDescent="0.35">
      <c r="B2" s="1" t="s">
        <v>22</v>
      </c>
      <c r="F2" s="7" t="s">
        <v>39</v>
      </c>
      <c r="G2" s="7"/>
      <c r="H2" s="7"/>
    </row>
    <row r="4" spans="2:10" x14ac:dyDescent="0.2">
      <c r="B4" t="s">
        <v>4</v>
      </c>
      <c r="C4" t="s">
        <v>40</v>
      </c>
      <c r="D4" t="s">
        <v>11</v>
      </c>
      <c r="E4" t="s">
        <v>23</v>
      </c>
      <c r="F4" t="s">
        <v>24</v>
      </c>
      <c r="G4" t="s">
        <v>25</v>
      </c>
      <c r="H4" t="s">
        <v>12</v>
      </c>
      <c r="I4" t="s">
        <v>13</v>
      </c>
      <c r="J4" t="s">
        <v>10</v>
      </c>
    </row>
    <row r="5" spans="2:10" x14ac:dyDescent="0.2">
      <c r="E5" s="3"/>
      <c r="F5" s="3"/>
      <c r="G5" s="3"/>
      <c r="H5" s="3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2024-04-16T20:47:00Z</cp:lastPrinted>
  <dcterms:created xsi:type="dcterms:W3CDTF">2024-01-06T11:27:44Z</dcterms:created>
  <dcterms:modified xsi:type="dcterms:W3CDTF">2024-05-03T22:45:05Z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